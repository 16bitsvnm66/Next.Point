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3"/>
  </sheets>
  <definedNames>
    <definedName function="false" hidden="false" localSheetId="0" name="_xlnm.Print_Titles" vbProcedure="false">'Product Backlog'!$6:$6</definedName>
    <definedName function="false" hidden="true" localSheetId="0" name="_xlnm._FilterDatabase" vbProcedure="false">'Product Backlog'!$A$6:$I$44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<sst xmlns="http://schemas.openxmlformats.org/spreadsheetml/2006/main" count="182" uniqueCount="80">
  <si>
    <t xml:space="preserve">Product Backlog — Next Point (Loja Virtual de Artigos de Padel)</t>
  </si>
  <si>
    <t xml:space="preserve">Resumo</t>
  </si>
  <si>
    <t xml:space="preserve">Data de criação do backlog:</t>
  </si>
  <si>
    <t xml:space="preserve">Total de tarefas</t>
  </si>
  <si>
    <t xml:space="preserve">Legenda Prioridade:</t>
  </si>
  <si>
    <t xml:space="preserve">1 = Crítica    2 = Alta    3 = Média    4 = Baixa    5 = Muito baixa</t>
  </si>
  <si>
    <t xml:space="preserve">Prioridade 1 (Crítica)</t>
  </si>
  <si>
    <t xml:space="preserve">Legenda Estado:</t>
  </si>
  <si>
    <t xml:space="preserve">Por fazer  |  Em curso  |  Concluído  |  Cancelado  |  Bloqueado</t>
  </si>
  <si>
    <t xml:space="preserve">Prioridade 2 (Alta)</t>
  </si>
  <si>
    <t xml:space="preserve">Prioridade 3 (Média)</t>
  </si>
  <si>
    <t xml:space="preserve">ID Tarefa</t>
  </si>
  <si>
    <t xml:space="preserve">Descrição</t>
  </si>
  <si>
    <t xml:space="preserve">Objectos</t>
  </si>
  <si>
    <t xml:space="preserve">Data</t>
  </si>
  <si>
    <t xml:space="preserve">Data Início</t>
  </si>
  <si>
    <t xml:space="preserve">Testado</t>
  </si>
  <si>
    <t xml:space="preserve">Prioridade</t>
  </si>
  <si>
    <t xml:space="preserve">Estado</t>
  </si>
  <si>
    <t xml:space="preserve">Requerente</t>
  </si>
  <si>
    <t xml:space="preserve">Prioridade 4 (Baixa)</t>
  </si>
  <si>
    <t xml:space="preserve">Configurar o ambiente de desenvolvimento (Python, Flask, virtualenv)</t>
  </si>
  <si>
    <t xml:space="preserve">Ambiente</t>
  </si>
  <si>
    <t xml:space="preserve">Não</t>
  </si>
  <si>
    <t xml:space="preserve">Por fazer</t>
  </si>
  <si>
    <t xml:space="preserve">Prioridade 5 (Muito baixa)</t>
  </si>
  <si>
    <t xml:space="preserve">Criar a estrutura base do projeto Flask (rotas, templates, ficheiros estáticos)</t>
  </si>
  <si>
    <t xml:space="preserve">Estrutura Flask</t>
  </si>
  <si>
    <t xml:space="preserve">Tarefas por fazer</t>
  </si>
  <si>
    <t xml:space="preserve">Criar a base de dados SQLite e o modelo de dados (produtos, categorias, clientes, encomendas, itens_encomenda)</t>
  </si>
  <si>
    <t xml:space="preserve">Base de Dados</t>
  </si>
  <si>
    <t xml:space="preserve">Tarefas concluídas</t>
  </si>
  <si>
    <t xml:space="preserve">Configurar a ligação da aplicação à base de dados</t>
  </si>
  <si>
    <t xml:space="preserve">CRUD de Categorias (criar, editar, remover, listar)</t>
  </si>
  <si>
    <t xml:space="preserve">Categoria</t>
  </si>
  <si>
    <t xml:space="preserve">CRUD de Produtos (criar, editar, remover, listar)</t>
  </si>
  <si>
    <t xml:space="preserve">Produto</t>
  </si>
  <si>
    <t xml:space="preserve">Funcionalidade de carrinho de compras (adicionar, remover, ajustar quantidades)</t>
  </si>
  <si>
    <t xml:space="preserve">Carrinho</t>
  </si>
  <si>
    <t xml:space="preserve">Criação da encomenda com validação do stock disponível</t>
  </si>
  <si>
    <t xml:space="preserve">Encomenda</t>
  </si>
  <si>
    <t xml:space="preserve">Publicar a aplicação em ambiente de produção (deployment)</t>
  </si>
  <si>
    <t xml:space="preserve">Deployment</t>
  </si>
  <si>
    <t xml:space="preserve">Criar o layout base da aplicação com Bootstrap</t>
  </si>
  <si>
    <t xml:space="preserve">Layout</t>
  </si>
  <si>
    <t xml:space="preserve">Página de listagem do catálogo com filtros por categoria e tamanho</t>
  </si>
  <si>
    <t xml:space="preserve">Dono da loja (amigo)</t>
  </si>
  <si>
    <t xml:space="preserve">Página de ficha de produto (detalhe, fotos, preço e stock)</t>
  </si>
  <si>
    <t xml:space="preserve">Página de checkout com recolha dos dados do cliente</t>
  </si>
  <si>
    <t xml:space="preserve">Cálculo automático do total da encomenda</t>
  </si>
  <si>
    <t xml:space="preserve">Atualização automática do stock após confirmação da encomenda</t>
  </si>
  <si>
    <t xml:space="preserve">Geração automática de um número de encomenda único</t>
  </si>
  <si>
    <t xml:space="preserve">Listagem de encomendas na área de administração, com filtro por estado</t>
  </si>
  <si>
    <t xml:space="preserve">Atualização do estado da encomenda (pendente &gt; confirmada &gt; enviada &gt; concluída)</t>
  </si>
  <si>
    <t xml:space="preserve">Testes unitários às validações do modelo Produto (nome, preço, stock)</t>
  </si>
  <si>
    <t xml:space="preserve">Testes Unitários</t>
  </si>
  <si>
    <t xml:space="preserve">Testes unitários ao cálculo de totais e subtotais da encomenda</t>
  </si>
  <si>
    <t xml:space="preserve">Testes de integração ao fluxo carrinho &gt; checkout &gt; criação de encomenda</t>
  </si>
  <si>
    <t xml:space="preserve">Testes Integração</t>
  </si>
  <si>
    <t xml:space="preserve">Preparar o ambiente de produção (hosting e configuração do servidor)</t>
  </si>
  <si>
    <t xml:space="preserve">Migrar a base de dados para o ambiente de produção</t>
  </si>
  <si>
    <t xml:space="preserve">Alerta de stock baixo na área de administração</t>
  </si>
  <si>
    <t xml:space="preserve">Cancelamento de encomenda com reposição automática do stock</t>
  </si>
  <si>
    <t xml:space="preserve">CRUD de Clientes (criar, editar, remover, listar)</t>
  </si>
  <si>
    <t xml:space="preserve">Cliente</t>
  </si>
  <si>
    <t xml:space="preserve">Testes unitários às validações do modelo Cliente</t>
  </si>
  <si>
    <t xml:space="preserve">Testes de integração à atualização de stock após uma venda</t>
  </si>
  <si>
    <t xml:space="preserve">Testes de integração à ligação entre a aplicação Flask e a base de dados</t>
  </si>
  <si>
    <t xml:space="preserve">Testes de sistema ao percurso completo do cliente (catálogo &gt; compra &gt; acompanhamento)</t>
  </si>
  <si>
    <t xml:space="preserve">Testes de Sistema</t>
  </si>
  <si>
    <t xml:space="preserve">Testes de sistema ao percurso completo do administrador (gestão de catálogo e encomendas)</t>
  </si>
  <si>
    <t xml:space="preserve">Testes de aceitação com o utilizador final sobre o catálogo e o processo de encomenda</t>
  </si>
  <si>
    <t xml:space="preserve">Testes de Aceitação</t>
  </si>
  <si>
    <t xml:space="preserve">Configurar o domínio e o certificado SSL da aplicação</t>
  </si>
  <si>
    <t xml:space="preserve">Relatório de receita total e de produtos mais vendidos</t>
  </si>
  <si>
    <t xml:space="preserve">Relatórios</t>
  </si>
  <si>
    <t xml:space="preserve">Exportação do histórico de encomendas para CSV</t>
  </si>
  <si>
    <t xml:space="preserve">Testes de sistema de compatibilidade em diferentes browsers e dispositivos</t>
  </si>
  <si>
    <t xml:space="preserve">Testes de aceitação aos relatórios e à área de administração pelo lojista</t>
  </si>
  <si>
    <t xml:space="preserve">Monitorização pós-lançamento e correção de bugs iniciais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</si>
</sst>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2"/>
      <color rgb="FF0F6E56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FFFFF"/>
        <bgColor rgb="FFE1F5EE"/>
      </patternFill>
    </fill>
    <fill>
      <patternFill patternType="solid">
        <fgColor rgb="FFF4CCCC"/>
        <bgColor rgb="FFD9D9D9"/>
      </patternFill>
    </fill>
    <fill>
      <patternFill patternType="solid">
        <fgColor rgb="FFE1F5EE"/>
        <bgColor rgb="FFD9EAD3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E1F5EE"/>
      </patternFill>
    </fill>
    <fill>
      <patternFill patternType="solid">
        <fgColor rgb="FFD9D9D9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F6E56"/>
          <bgColor rgb="FF000000"/>
        </patternFill>
      </fill>
    </dxf>
    <dxf>
      <fill>
        <patternFill patternType="solid">
          <fgColor rgb="FFE1F5E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BFBFBF"/>
      <rgbColor rgb="FF808080"/>
      <rgbColor rgb="FF9999FF"/>
      <rgbColor rgb="FF993366"/>
      <rgbColor rgb="FFFFF2CC"/>
      <rgbColor rgb="FFE1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2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1" min="11" style="0" width="22"/>
    <col collapsed="false" customWidth="true" hidden="false" outlineLevel="0" max="12" min="12" style="0" width="1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K1" s="2" t="s">
        <v>1</v>
      </c>
    </row>
    <row r="2" customFormat="false" ht="15" hidden="false" customHeight="false" outlineLevel="0" collapsed="false">
      <c r="A2" s="3" t="s">
        <v>2</v>
      </c>
      <c r="B2" s="4" t="n">
        <v>46266</v>
      </c>
      <c r="K2" s="5" t="s">
        <v>3</v>
      </c>
      <c r="L2" s="6" t="n">
        <f aca="false">COUNTA(A7:A44)</f>
        <v>38</v>
      </c>
    </row>
    <row r="3" customFormat="false" ht="15" hidden="false" customHeight="false" outlineLevel="0" collapsed="false">
      <c r="A3" s="3" t="s">
        <v>4</v>
      </c>
      <c r="B3" s="7" t="s">
        <v>5</v>
      </c>
      <c r="C3" s="7"/>
      <c r="D3" s="7"/>
      <c r="E3" s="7"/>
      <c r="F3" s="7"/>
      <c r="G3" s="7"/>
      <c r="H3" s="7"/>
      <c r="I3" s="7"/>
      <c r="K3" s="5" t="s">
        <v>6</v>
      </c>
      <c r="L3" s="6" t="n">
        <f aca="false">COUNTIF(G7:G44,1)</f>
        <v>9</v>
      </c>
    </row>
    <row r="4" customFormat="false" ht="15" hidden="false" customHeight="false" outlineLevel="0" collapsed="false">
      <c r="A4" s="3" t="s">
        <v>7</v>
      </c>
      <c r="B4" s="7" t="s">
        <v>8</v>
      </c>
      <c r="C4" s="7"/>
      <c r="D4" s="7"/>
      <c r="E4" s="7"/>
      <c r="F4" s="7"/>
      <c r="G4" s="7"/>
      <c r="H4" s="7"/>
      <c r="I4" s="7"/>
      <c r="K4" s="5" t="s">
        <v>9</v>
      </c>
      <c r="L4" s="6" t="n">
        <f aca="false">COUNTIF(G7:G44,2)</f>
        <v>14</v>
      </c>
    </row>
    <row r="5" customFormat="false" ht="15" hidden="false" customHeight="false" outlineLevel="0" collapsed="false">
      <c r="K5" s="5" t="s">
        <v>10</v>
      </c>
      <c r="L5" s="6" t="n">
        <f aca="false">COUNTIF(G7:G44,3)</f>
        <v>10</v>
      </c>
    </row>
    <row r="6" customFormat="false" ht="19.5" hidden="false" customHeight="true" outlineLevel="0" collapsed="false">
      <c r="A6" s="8" t="s">
        <v>11</v>
      </c>
      <c r="B6" s="8" t="s">
        <v>12</v>
      </c>
      <c r="C6" s="8" t="s">
        <v>13</v>
      </c>
      <c r="D6" s="8" t="s">
        <v>14</v>
      </c>
      <c r="E6" s="8" t="s">
        <v>15</v>
      </c>
      <c r="F6" s="8" t="s">
        <v>16</v>
      </c>
      <c r="G6" s="8" t="s">
        <v>17</v>
      </c>
      <c r="H6" s="8" t="s">
        <v>18</v>
      </c>
      <c r="I6" s="8" t="s">
        <v>19</v>
      </c>
      <c r="K6" s="5" t="s">
        <v>20</v>
      </c>
      <c r="L6" s="6" t="n">
        <f aca="false">COUNTIF(G7:G44,4)</f>
        <v>4</v>
      </c>
    </row>
    <row r="7" customFormat="false" ht="15" hidden="false" customHeight="false" outlineLevel="0" collapsed="false">
      <c r="A7" s="9" t="n">
        <v>1</v>
      </c>
      <c r="B7" s="10" t="s">
        <v>21</v>
      </c>
      <c r="C7" s="11" t="s">
        <v>22</v>
      </c>
      <c r="D7" s="12" t="n">
        <v>46266</v>
      </c>
      <c r="E7" s="12" t="n">
        <v>46272</v>
      </c>
      <c r="F7" s="9" t="s">
        <v>23</v>
      </c>
      <c r="G7" s="13" t="n">
        <v>1</v>
      </c>
      <c r="H7" s="9" t="s">
        <v>24</v>
      </c>
      <c r="I7" s="11"/>
      <c r="K7" s="5" t="s">
        <v>25</v>
      </c>
      <c r="L7" s="6" t="n">
        <f aca="false">COUNTIF(G7:G44,5)</f>
        <v>1</v>
      </c>
    </row>
    <row r="8" customFormat="false" ht="15" hidden="false" customHeight="false" outlineLevel="0" collapsed="false">
      <c r="A8" s="14" t="n">
        <v>2</v>
      </c>
      <c r="B8" s="15" t="s">
        <v>26</v>
      </c>
      <c r="C8" s="16" t="s">
        <v>27</v>
      </c>
      <c r="D8" s="17" t="n">
        <v>46266</v>
      </c>
      <c r="E8" s="17" t="n">
        <v>46273</v>
      </c>
      <c r="F8" s="14" t="s">
        <v>23</v>
      </c>
      <c r="G8" s="13" t="n">
        <v>1</v>
      </c>
      <c r="H8" s="14" t="s">
        <v>24</v>
      </c>
      <c r="I8" s="16"/>
      <c r="K8" s="5" t="s">
        <v>28</v>
      </c>
      <c r="L8" s="6" t="n">
        <f aca="false">COUNTIF(H7:H44,"Por fazer")</f>
        <v>38</v>
      </c>
    </row>
    <row r="9" customFormat="false" ht="23.85" hidden="false" customHeight="false" outlineLevel="0" collapsed="false">
      <c r="A9" s="9" t="n">
        <v>3</v>
      </c>
      <c r="B9" s="10" t="s">
        <v>29</v>
      </c>
      <c r="C9" s="11" t="s">
        <v>30</v>
      </c>
      <c r="D9" s="12" t="n">
        <v>46266</v>
      </c>
      <c r="E9" s="12" t="n">
        <v>46274</v>
      </c>
      <c r="F9" s="9" t="s">
        <v>23</v>
      </c>
      <c r="G9" s="13" t="n">
        <v>1</v>
      </c>
      <c r="H9" s="9" t="s">
        <v>24</v>
      </c>
      <c r="I9" s="11"/>
      <c r="K9" s="5" t="s">
        <v>31</v>
      </c>
      <c r="L9" s="6" t="n">
        <f aca="false">COUNTIF(H7:H44,"Concluído")</f>
        <v>0</v>
      </c>
    </row>
    <row r="10" customFormat="false" ht="15" hidden="false" customHeight="false" outlineLevel="0" collapsed="false">
      <c r="A10" s="14" t="n">
        <v>4</v>
      </c>
      <c r="B10" s="15" t="s">
        <v>32</v>
      </c>
      <c r="C10" s="16" t="s">
        <v>30</v>
      </c>
      <c r="D10" s="17" t="n">
        <v>46266</v>
      </c>
      <c r="E10" s="17" t="n">
        <v>46275</v>
      </c>
      <c r="F10" s="14" t="s">
        <v>23</v>
      </c>
      <c r="G10" s="13" t="n">
        <v>1</v>
      </c>
      <c r="H10" s="14" t="s">
        <v>24</v>
      </c>
      <c r="I10" s="16"/>
    </row>
    <row r="11" customFormat="false" ht="15" hidden="false" customHeight="false" outlineLevel="0" collapsed="false">
      <c r="A11" s="9" t="n">
        <v>5</v>
      </c>
      <c r="B11" s="10" t="s">
        <v>33</v>
      </c>
      <c r="C11" s="11" t="s">
        <v>34</v>
      </c>
      <c r="D11" s="12" t="n">
        <v>46266</v>
      </c>
      <c r="E11" s="12" t="n">
        <v>46279</v>
      </c>
      <c r="F11" s="9" t="s">
        <v>23</v>
      </c>
      <c r="G11" s="13" t="n">
        <v>1</v>
      </c>
      <c r="H11" s="9" t="s">
        <v>24</v>
      </c>
      <c r="I11" s="11"/>
    </row>
    <row r="12" customFormat="false" ht="15" hidden="false" customHeight="false" outlineLevel="0" collapsed="false">
      <c r="A12" s="14" t="n">
        <v>6</v>
      </c>
      <c r="B12" s="15" t="s">
        <v>35</v>
      </c>
      <c r="C12" s="16" t="s">
        <v>36</v>
      </c>
      <c r="D12" s="17" t="n">
        <v>46266</v>
      </c>
      <c r="E12" s="17" t="n">
        <v>46280</v>
      </c>
      <c r="F12" s="14" t="s">
        <v>23</v>
      </c>
      <c r="G12" s="13" t="n">
        <v>1</v>
      </c>
      <c r="H12" s="14" t="s">
        <v>24</v>
      </c>
      <c r="I12" s="16"/>
    </row>
    <row r="13" customFormat="false" ht="23.85" hidden="false" customHeight="false" outlineLevel="0" collapsed="false">
      <c r="A13" s="9" t="n">
        <v>7</v>
      </c>
      <c r="B13" s="10" t="s">
        <v>37</v>
      </c>
      <c r="C13" s="11" t="s">
        <v>38</v>
      </c>
      <c r="D13" s="12" t="n">
        <v>46266</v>
      </c>
      <c r="E13" s="12" t="n">
        <v>46286</v>
      </c>
      <c r="F13" s="9" t="s">
        <v>23</v>
      </c>
      <c r="G13" s="13" t="n">
        <v>1</v>
      </c>
      <c r="H13" s="9" t="s">
        <v>24</v>
      </c>
      <c r="I13" s="11"/>
    </row>
    <row r="14" customFormat="false" ht="15" hidden="false" customHeight="false" outlineLevel="0" collapsed="false">
      <c r="A14" s="14" t="n">
        <v>8</v>
      </c>
      <c r="B14" s="15" t="s">
        <v>39</v>
      </c>
      <c r="C14" s="16" t="s">
        <v>40</v>
      </c>
      <c r="D14" s="17" t="n">
        <v>46266</v>
      </c>
      <c r="E14" s="17" t="n">
        <v>46288</v>
      </c>
      <c r="F14" s="14" t="s">
        <v>23</v>
      </c>
      <c r="G14" s="13" t="n">
        <v>1</v>
      </c>
      <c r="H14" s="14" t="s">
        <v>24</v>
      </c>
      <c r="I14" s="16"/>
    </row>
    <row r="15" customFormat="false" ht="15" hidden="false" customHeight="false" outlineLevel="0" collapsed="false">
      <c r="A15" s="9" t="n">
        <v>9</v>
      </c>
      <c r="B15" s="10" t="s">
        <v>41</v>
      </c>
      <c r="C15" s="11" t="s">
        <v>42</v>
      </c>
      <c r="D15" s="12" t="n">
        <v>46266</v>
      </c>
      <c r="E15" s="12" t="n">
        <v>46316</v>
      </c>
      <c r="F15" s="9" t="s">
        <v>23</v>
      </c>
      <c r="G15" s="13" t="n">
        <v>1</v>
      </c>
      <c r="H15" s="9" t="s">
        <v>24</v>
      </c>
      <c r="I15" s="11"/>
    </row>
    <row r="16" customFormat="false" ht="15" hidden="false" customHeight="false" outlineLevel="0" collapsed="false">
      <c r="A16" s="14" t="n">
        <v>10</v>
      </c>
      <c r="B16" s="15" t="s">
        <v>43</v>
      </c>
      <c r="C16" s="16" t="s">
        <v>44</v>
      </c>
      <c r="D16" s="17" t="n">
        <v>46266</v>
      </c>
      <c r="E16" s="17" t="n">
        <v>46276</v>
      </c>
      <c r="F16" s="14" t="s">
        <v>23</v>
      </c>
      <c r="G16" s="18" t="n">
        <v>2</v>
      </c>
      <c r="H16" s="14" t="s">
        <v>24</v>
      </c>
      <c r="I16" s="16"/>
    </row>
    <row r="17" customFormat="false" ht="15" hidden="false" customHeight="false" outlineLevel="0" collapsed="false">
      <c r="A17" s="9" t="n">
        <v>11</v>
      </c>
      <c r="B17" s="10" t="s">
        <v>45</v>
      </c>
      <c r="C17" s="11" t="s">
        <v>36</v>
      </c>
      <c r="D17" s="12" t="n">
        <v>46266</v>
      </c>
      <c r="E17" s="12" t="n">
        <v>46281</v>
      </c>
      <c r="F17" s="9" t="s">
        <v>23</v>
      </c>
      <c r="G17" s="18" t="n">
        <v>2</v>
      </c>
      <c r="H17" s="9" t="s">
        <v>24</v>
      </c>
      <c r="I17" s="11" t="s">
        <v>46</v>
      </c>
    </row>
    <row r="18" customFormat="false" ht="15" hidden="false" customHeight="false" outlineLevel="0" collapsed="false">
      <c r="A18" s="14" t="n">
        <v>12</v>
      </c>
      <c r="B18" s="15" t="s">
        <v>47</v>
      </c>
      <c r="C18" s="16" t="s">
        <v>36</v>
      </c>
      <c r="D18" s="17" t="n">
        <v>46266</v>
      </c>
      <c r="E18" s="17" t="n">
        <v>46282</v>
      </c>
      <c r="F18" s="14" t="s">
        <v>23</v>
      </c>
      <c r="G18" s="18" t="n">
        <v>2</v>
      </c>
      <c r="H18" s="14" t="s">
        <v>24</v>
      </c>
      <c r="I18" s="16"/>
    </row>
    <row r="19" customFormat="false" ht="15" hidden="false" customHeight="false" outlineLevel="0" collapsed="false">
      <c r="A19" s="9" t="n">
        <v>13</v>
      </c>
      <c r="B19" s="10" t="s">
        <v>48</v>
      </c>
      <c r="C19" s="11" t="s">
        <v>40</v>
      </c>
      <c r="D19" s="12" t="n">
        <v>46266</v>
      </c>
      <c r="E19" s="12" t="n">
        <v>46287</v>
      </c>
      <c r="F19" s="9" t="s">
        <v>23</v>
      </c>
      <c r="G19" s="18" t="n">
        <v>2</v>
      </c>
      <c r="H19" s="9" t="s">
        <v>24</v>
      </c>
      <c r="I19" s="11"/>
    </row>
    <row r="20" customFormat="false" ht="15" hidden="false" customHeight="false" outlineLevel="0" collapsed="false">
      <c r="A20" s="14" t="n">
        <v>14</v>
      </c>
      <c r="B20" s="15" t="s">
        <v>49</v>
      </c>
      <c r="C20" s="16" t="s">
        <v>40</v>
      </c>
      <c r="D20" s="17" t="n">
        <v>46266</v>
      </c>
      <c r="E20" s="17" t="n">
        <v>46289</v>
      </c>
      <c r="F20" s="14" t="s">
        <v>23</v>
      </c>
      <c r="G20" s="18" t="n">
        <v>2</v>
      </c>
      <c r="H20" s="14" t="s">
        <v>24</v>
      </c>
      <c r="I20" s="16"/>
    </row>
    <row r="21" customFormat="false" ht="15" hidden="false" customHeight="false" outlineLevel="0" collapsed="false">
      <c r="A21" s="9" t="n">
        <v>15</v>
      </c>
      <c r="B21" s="10" t="s">
        <v>50</v>
      </c>
      <c r="C21" s="11" t="s">
        <v>36</v>
      </c>
      <c r="D21" s="12" t="n">
        <v>46266</v>
      </c>
      <c r="E21" s="12" t="n">
        <v>46289</v>
      </c>
      <c r="F21" s="9" t="s">
        <v>23</v>
      </c>
      <c r="G21" s="18" t="n">
        <v>2</v>
      </c>
      <c r="H21" s="9" t="s">
        <v>24</v>
      </c>
      <c r="I21" s="11"/>
    </row>
    <row r="22" customFormat="false" ht="15" hidden="false" customHeight="false" outlineLevel="0" collapsed="false">
      <c r="A22" s="14" t="n">
        <v>16</v>
      </c>
      <c r="B22" s="15" t="s">
        <v>51</v>
      </c>
      <c r="C22" s="16" t="s">
        <v>40</v>
      </c>
      <c r="D22" s="17" t="n">
        <v>46266</v>
      </c>
      <c r="E22" s="17" t="n">
        <v>46290</v>
      </c>
      <c r="F22" s="14" t="s">
        <v>23</v>
      </c>
      <c r="G22" s="18" t="n">
        <v>2</v>
      </c>
      <c r="H22" s="14" t="s">
        <v>24</v>
      </c>
      <c r="I22" s="16"/>
    </row>
    <row r="23" customFormat="false" ht="15" hidden="false" customHeight="false" outlineLevel="0" collapsed="false">
      <c r="A23" s="9" t="n">
        <v>17</v>
      </c>
      <c r="B23" s="10" t="s">
        <v>52</v>
      </c>
      <c r="C23" s="11" t="s">
        <v>40</v>
      </c>
      <c r="D23" s="12" t="n">
        <v>46266</v>
      </c>
      <c r="E23" s="12" t="n">
        <v>46293</v>
      </c>
      <c r="F23" s="9" t="s">
        <v>23</v>
      </c>
      <c r="G23" s="18" t="n">
        <v>2</v>
      </c>
      <c r="H23" s="9" t="s">
        <v>24</v>
      </c>
      <c r="I23" s="11"/>
    </row>
    <row r="24" customFormat="false" ht="23.85" hidden="false" customHeight="false" outlineLevel="0" collapsed="false">
      <c r="A24" s="14" t="n">
        <v>18</v>
      </c>
      <c r="B24" s="15" t="s">
        <v>53</v>
      </c>
      <c r="C24" s="16" t="s">
        <v>40</v>
      </c>
      <c r="D24" s="17" t="n">
        <v>46266</v>
      </c>
      <c r="E24" s="17" t="n">
        <v>46294</v>
      </c>
      <c r="F24" s="14" t="s">
        <v>23</v>
      </c>
      <c r="G24" s="18" t="n">
        <v>2</v>
      </c>
      <c r="H24" s="14" t="s">
        <v>24</v>
      </c>
      <c r="I24" s="16"/>
    </row>
    <row r="25" customFormat="false" ht="15" hidden="false" customHeight="false" outlineLevel="0" collapsed="false">
      <c r="A25" s="9" t="n">
        <v>19</v>
      </c>
      <c r="B25" s="10" t="s">
        <v>54</v>
      </c>
      <c r="C25" s="11" t="s">
        <v>55</v>
      </c>
      <c r="D25" s="12" t="n">
        <v>46266</v>
      </c>
      <c r="E25" s="12" t="n">
        <v>46300</v>
      </c>
      <c r="F25" s="9" t="s">
        <v>23</v>
      </c>
      <c r="G25" s="18" t="n">
        <v>2</v>
      </c>
      <c r="H25" s="9" t="s">
        <v>24</v>
      </c>
      <c r="I25" s="11"/>
    </row>
    <row r="26" customFormat="false" ht="15" hidden="false" customHeight="false" outlineLevel="0" collapsed="false">
      <c r="A26" s="14" t="n">
        <v>20</v>
      </c>
      <c r="B26" s="15" t="s">
        <v>56</v>
      </c>
      <c r="C26" s="16" t="s">
        <v>55</v>
      </c>
      <c r="D26" s="17" t="n">
        <v>46266</v>
      </c>
      <c r="E26" s="17" t="n">
        <v>46300</v>
      </c>
      <c r="F26" s="14" t="s">
        <v>23</v>
      </c>
      <c r="G26" s="18" t="n">
        <v>2</v>
      </c>
      <c r="H26" s="14" t="s">
        <v>24</v>
      </c>
      <c r="I26" s="16"/>
    </row>
    <row r="27" customFormat="false" ht="15" hidden="false" customHeight="false" outlineLevel="0" collapsed="false">
      <c r="A27" s="9" t="n">
        <v>21</v>
      </c>
      <c r="B27" s="10" t="s">
        <v>57</v>
      </c>
      <c r="C27" s="11" t="s">
        <v>58</v>
      </c>
      <c r="D27" s="12" t="n">
        <v>46266</v>
      </c>
      <c r="E27" s="12" t="n">
        <v>46302</v>
      </c>
      <c r="F27" s="9" t="s">
        <v>23</v>
      </c>
      <c r="G27" s="18" t="n">
        <v>2</v>
      </c>
      <c r="H27" s="9" t="s">
        <v>24</v>
      </c>
      <c r="I27" s="11"/>
    </row>
    <row r="28" customFormat="false" ht="15" hidden="false" customHeight="false" outlineLevel="0" collapsed="false">
      <c r="A28" s="14" t="n">
        <v>22</v>
      </c>
      <c r="B28" s="15" t="s">
        <v>59</v>
      </c>
      <c r="C28" s="16" t="s">
        <v>42</v>
      </c>
      <c r="D28" s="17" t="n">
        <v>46266</v>
      </c>
      <c r="E28" s="17" t="n">
        <v>46314</v>
      </c>
      <c r="F28" s="14" t="s">
        <v>23</v>
      </c>
      <c r="G28" s="18" t="n">
        <v>2</v>
      </c>
      <c r="H28" s="14" t="s">
        <v>24</v>
      </c>
      <c r="I28" s="16"/>
    </row>
    <row r="29" customFormat="false" ht="15" hidden="false" customHeight="false" outlineLevel="0" collapsed="false">
      <c r="A29" s="9" t="n">
        <v>23</v>
      </c>
      <c r="B29" s="10" t="s">
        <v>60</v>
      </c>
      <c r="C29" s="11" t="s">
        <v>42</v>
      </c>
      <c r="D29" s="12" t="n">
        <v>46266</v>
      </c>
      <c r="E29" s="12" t="n">
        <v>46315</v>
      </c>
      <c r="F29" s="9" t="s">
        <v>23</v>
      </c>
      <c r="G29" s="18" t="n">
        <v>2</v>
      </c>
      <c r="H29" s="9" t="s">
        <v>24</v>
      </c>
      <c r="I29" s="11"/>
    </row>
    <row r="30" customFormat="false" ht="15" hidden="false" customHeight="false" outlineLevel="0" collapsed="false">
      <c r="A30" s="14" t="n">
        <v>24</v>
      </c>
      <c r="B30" s="15" t="s">
        <v>61</v>
      </c>
      <c r="C30" s="16" t="s">
        <v>36</v>
      </c>
      <c r="D30" s="17" t="n">
        <v>46266</v>
      </c>
      <c r="E30" s="17" t="n">
        <v>46283</v>
      </c>
      <c r="F30" s="14" t="s">
        <v>23</v>
      </c>
      <c r="G30" s="19" t="n">
        <v>3</v>
      </c>
      <c r="H30" s="14" t="s">
        <v>24</v>
      </c>
      <c r="I30" s="16" t="s">
        <v>46</v>
      </c>
    </row>
    <row r="31" customFormat="false" ht="15" hidden="false" customHeight="false" outlineLevel="0" collapsed="false">
      <c r="A31" s="9" t="n">
        <v>25</v>
      </c>
      <c r="B31" s="10" t="s">
        <v>62</v>
      </c>
      <c r="C31" s="11" t="s">
        <v>40</v>
      </c>
      <c r="D31" s="12" t="n">
        <v>46266</v>
      </c>
      <c r="E31" s="12" t="n">
        <v>46295</v>
      </c>
      <c r="F31" s="9" t="s">
        <v>23</v>
      </c>
      <c r="G31" s="19" t="n">
        <v>3</v>
      </c>
      <c r="H31" s="9" t="s">
        <v>24</v>
      </c>
      <c r="I31" s="11"/>
    </row>
    <row r="32" customFormat="false" ht="15" hidden="false" customHeight="false" outlineLevel="0" collapsed="false">
      <c r="A32" s="14" t="n">
        <v>26</v>
      </c>
      <c r="B32" s="15" t="s">
        <v>63</v>
      </c>
      <c r="C32" s="16" t="s">
        <v>64</v>
      </c>
      <c r="D32" s="17" t="n">
        <v>46266</v>
      </c>
      <c r="E32" s="17" t="n">
        <v>46296</v>
      </c>
      <c r="F32" s="14" t="s">
        <v>23</v>
      </c>
      <c r="G32" s="19" t="n">
        <v>3</v>
      </c>
      <c r="H32" s="14" t="s">
        <v>24</v>
      </c>
      <c r="I32" s="16"/>
    </row>
    <row r="33" customFormat="false" ht="15" hidden="false" customHeight="false" outlineLevel="0" collapsed="false">
      <c r="A33" s="9" t="n">
        <v>27</v>
      </c>
      <c r="B33" s="10" t="s">
        <v>65</v>
      </c>
      <c r="C33" s="11" t="s">
        <v>55</v>
      </c>
      <c r="D33" s="12" t="n">
        <v>46266</v>
      </c>
      <c r="E33" s="12" t="n">
        <v>46301</v>
      </c>
      <c r="F33" s="9" t="s">
        <v>23</v>
      </c>
      <c r="G33" s="19" t="n">
        <v>3</v>
      </c>
      <c r="H33" s="9" t="s">
        <v>24</v>
      </c>
      <c r="I33" s="11"/>
    </row>
    <row r="34" customFormat="false" ht="15" hidden="false" customHeight="false" outlineLevel="0" collapsed="false">
      <c r="A34" s="14" t="n">
        <v>28</v>
      </c>
      <c r="B34" s="15" t="s">
        <v>66</v>
      </c>
      <c r="C34" s="16" t="s">
        <v>58</v>
      </c>
      <c r="D34" s="17" t="n">
        <v>46266</v>
      </c>
      <c r="E34" s="17" t="n">
        <v>46303</v>
      </c>
      <c r="F34" s="14" t="s">
        <v>23</v>
      </c>
      <c r="G34" s="19" t="n">
        <v>3</v>
      </c>
      <c r="H34" s="14" t="s">
        <v>24</v>
      </c>
      <c r="I34" s="16"/>
    </row>
    <row r="35" customFormat="false" ht="15" hidden="false" customHeight="false" outlineLevel="0" collapsed="false">
      <c r="A35" s="9" t="n">
        <v>29</v>
      </c>
      <c r="B35" s="10" t="s">
        <v>67</v>
      </c>
      <c r="C35" s="11" t="s">
        <v>58</v>
      </c>
      <c r="D35" s="12" t="n">
        <v>46266</v>
      </c>
      <c r="E35" s="12" t="n">
        <v>46304</v>
      </c>
      <c r="F35" s="9" t="s">
        <v>23</v>
      </c>
      <c r="G35" s="19" t="n">
        <v>3</v>
      </c>
      <c r="H35" s="9" t="s">
        <v>24</v>
      </c>
      <c r="I35" s="11"/>
    </row>
    <row r="36" customFormat="false" ht="23.85" hidden="false" customHeight="false" outlineLevel="0" collapsed="false">
      <c r="A36" s="14" t="n">
        <v>30</v>
      </c>
      <c r="B36" s="15" t="s">
        <v>68</v>
      </c>
      <c r="C36" s="16" t="s">
        <v>69</v>
      </c>
      <c r="D36" s="17" t="n">
        <v>46266</v>
      </c>
      <c r="E36" s="17" t="n">
        <v>46307</v>
      </c>
      <c r="F36" s="14" t="s">
        <v>23</v>
      </c>
      <c r="G36" s="19" t="n">
        <v>3</v>
      </c>
      <c r="H36" s="14" t="s">
        <v>24</v>
      </c>
      <c r="I36" s="16"/>
    </row>
    <row r="37" customFormat="false" ht="23.85" hidden="false" customHeight="false" outlineLevel="0" collapsed="false">
      <c r="A37" s="9" t="n">
        <v>31</v>
      </c>
      <c r="B37" s="10" t="s">
        <v>70</v>
      </c>
      <c r="C37" s="11" t="s">
        <v>69</v>
      </c>
      <c r="D37" s="12" t="n">
        <v>46266</v>
      </c>
      <c r="E37" s="12" t="n">
        <v>46308</v>
      </c>
      <c r="F37" s="9" t="s">
        <v>23</v>
      </c>
      <c r="G37" s="19" t="n">
        <v>3</v>
      </c>
      <c r="H37" s="9" t="s">
        <v>24</v>
      </c>
      <c r="I37" s="11"/>
    </row>
    <row r="38" customFormat="false" ht="23.85" hidden="false" customHeight="false" outlineLevel="0" collapsed="false">
      <c r="A38" s="14" t="n">
        <v>32</v>
      </c>
      <c r="B38" s="15" t="s">
        <v>71</v>
      </c>
      <c r="C38" s="16" t="s">
        <v>72</v>
      </c>
      <c r="D38" s="17" t="n">
        <v>46266</v>
      </c>
      <c r="E38" s="17" t="n">
        <v>46310</v>
      </c>
      <c r="F38" s="14" t="s">
        <v>23</v>
      </c>
      <c r="G38" s="19" t="n">
        <v>3</v>
      </c>
      <c r="H38" s="14" t="s">
        <v>24</v>
      </c>
      <c r="I38" s="16" t="s">
        <v>46</v>
      </c>
    </row>
    <row r="39" customFormat="false" ht="15" hidden="false" customHeight="false" outlineLevel="0" collapsed="false">
      <c r="A39" s="9" t="n">
        <v>33</v>
      </c>
      <c r="B39" s="10" t="s">
        <v>73</v>
      </c>
      <c r="C39" s="11" t="s">
        <v>42</v>
      </c>
      <c r="D39" s="12" t="n">
        <v>46266</v>
      </c>
      <c r="E39" s="12" t="n">
        <v>46316</v>
      </c>
      <c r="F39" s="9" t="s">
        <v>23</v>
      </c>
      <c r="G39" s="19" t="n">
        <v>3</v>
      </c>
      <c r="H39" s="9" t="s">
        <v>24</v>
      </c>
      <c r="I39" s="11"/>
    </row>
    <row r="40" customFormat="false" ht="15" hidden="false" customHeight="false" outlineLevel="0" collapsed="false">
      <c r="A40" s="14" t="n">
        <v>34</v>
      </c>
      <c r="B40" s="15" t="s">
        <v>74</v>
      </c>
      <c r="C40" s="16" t="s">
        <v>75</v>
      </c>
      <c r="D40" s="17" t="n">
        <v>46266</v>
      </c>
      <c r="E40" s="17" t="n">
        <v>46297</v>
      </c>
      <c r="F40" s="14" t="s">
        <v>23</v>
      </c>
      <c r="G40" s="20" t="n">
        <v>4</v>
      </c>
      <c r="H40" s="14" t="s">
        <v>24</v>
      </c>
      <c r="I40" s="16" t="s">
        <v>46</v>
      </c>
    </row>
    <row r="41" customFormat="false" ht="15" hidden="false" customHeight="false" outlineLevel="0" collapsed="false">
      <c r="A41" s="9" t="n">
        <v>35</v>
      </c>
      <c r="B41" s="10" t="s">
        <v>76</v>
      </c>
      <c r="C41" s="11" t="s">
        <v>75</v>
      </c>
      <c r="D41" s="12" t="n">
        <v>46266</v>
      </c>
      <c r="E41" s="12" t="n">
        <v>46297</v>
      </c>
      <c r="F41" s="9" t="s">
        <v>23</v>
      </c>
      <c r="G41" s="20" t="n">
        <v>4</v>
      </c>
      <c r="H41" s="9" t="s">
        <v>24</v>
      </c>
      <c r="I41" s="11" t="s">
        <v>46</v>
      </c>
    </row>
    <row r="42" customFormat="false" ht="15" hidden="false" customHeight="false" outlineLevel="0" collapsed="false">
      <c r="A42" s="14" t="n">
        <v>36</v>
      </c>
      <c r="B42" s="15" t="s">
        <v>77</v>
      </c>
      <c r="C42" s="16" t="s">
        <v>69</v>
      </c>
      <c r="D42" s="17" t="n">
        <v>46266</v>
      </c>
      <c r="E42" s="17" t="n">
        <v>46309</v>
      </c>
      <c r="F42" s="14" t="s">
        <v>23</v>
      </c>
      <c r="G42" s="20" t="n">
        <v>4</v>
      </c>
      <c r="H42" s="14" t="s">
        <v>24</v>
      </c>
      <c r="I42" s="16"/>
    </row>
    <row r="43" customFormat="false" ht="15" hidden="false" customHeight="false" outlineLevel="0" collapsed="false">
      <c r="A43" s="9" t="n">
        <v>37</v>
      </c>
      <c r="B43" s="10" t="s">
        <v>78</v>
      </c>
      <c r="C43" s="11" t="s">
        <v>72</v>
      </c>
      <c r="D43" s="12" t="n">
        <v>46266</v>
      </c>
      <c r="E43" s="12" t="n">
        <v>46311</v>
      </c>
      <c r="F43" s="9" t="s">
        <v>23</v>
      </c>
      <c r="G43" s="20" t="n">
        <v>4</v>
      </c>
      <c r="H43" s="9" t="s">
        <v>24</v>
      </c>
      <c r="I43" s="11" t="s">
        <v>46</v>
      </c>
    </row>
    <row r="44" customFormat="false" ht="15" hidden="false" customHeight="false" outlineLevel="0" collapsed="false">
      <c r="A44" s="14" t="n">
        <v>38</v>
      </c>
      <c r="B44" s="15" t="s">
        <v>79</v>
      </c>
      <c r="C44" s="16" t="s">
        <v>42</v>
      </c>
      <c r="D44" s="17" t="n">
        <v>46266</v>
      </c>
      <c r="E44" s="17" t="n">
        <v>46317</v>
      </c>
      <c r="F44" s="14" t="s">
        <v>23</v>
      </c>
      <c r="G44" s="21" t="n">
        <v>5</v>
      </c>
      <c r="H44" s="14" t="s">
        <v>24</v>
      </c>
      <c r="I44" s="16"/>
    </row>
  </sheetData>
  <autoFilter ref="A6:I44"/>
  <mergeCells count="3">
    <mergeCell ref="A1:I1"/>
    <mergeCell ref="B3:I3"/>
    <mergeCell ref="B4:I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2026-07-30T21:52:54Z</dcterms:created>
  <dc:creator>openpyxl</dc:creator>
  <dc:description/>
  <dc:language>en-US</dc:language>
  <cp:lastModifiedBy/>
  <dcterms:modified xsi:type="dcterms:W3CDTF">2026-07-30T21:52:54Z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